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5-Year Proje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<sst xmlns="http://schemas.openxmlformats.org/spreadsheetml/2006/main" count="153" uniqueCount="149">
  <si>
    <t xml:space="preserve">Alexandria — Financial Model</t>
  </si>
  <si>
    <t xml:space="preserve">Numbers.xlsx</t>
  </si>
  <si>
    <t xml:space="preserve">Assumptions &amp; Key Inputs</t>
  </si>
  <si>
    <t xml:space="preserve">Assumption</t>
  </si>
  <si>
    <t xml:space="preserve">Value</t>
  </si>
  <si>
    <t xml:space="preserve">Notes</t>
  </si>
  <si>
    <t xml:space="preserve">PRICING</t>
  </si>
  <si>
    <t xml:space="preserve">Sovereignty — with kin</t>
  </si>
  <si>
    <t xml:space="preserve">$/month</t>
  </si>
  <si>
    <t xml:space="preserve">Sovereignty — without kin</t>
  </si>
  <si>
    <t xml:space="preserve">Examined Life — with kin</t>
  </si>
  <si>
    <t xml:space="preserve">Examined Life — without kin</t>
  </si>
  <si>
    <t xml:space="preserve">Stripe fee (% of charge)</t>
  </si>
  <si>
    <t xml:space="preserve">2.9%</t>
  </si>
  <si>
    <t xml:space="preserve">Stripe fee (fixed per txn)</t>
  </si>
  <si>
    <t xml:space="preserve">$0.30 per transaction</t>
  </si>
  <si>
    <t xml:space="preserve">% of users with 3+ active kin</t>
  </si>
  <si>
    <t xml:space="preserve">Assumption: kin mechanic works — 60% have kin</t>
  </si>
  <si>
    <t xml:space="preserve">Effective Sovereignty ARPU</t>
  </si>
  <si>
    <t xml:space="preserve">Blended: 60% at $5, 40% at $10</t>
  </si>
  <si>
    <t xml:space="preserve">Effective Examined Life ARPU</t>
  </si>
  <si>
    <t xml:space="preserve">Blended: 60% at $15, 40% at $20</t>
  </si>
  <si>
    <t xml:space="preserve">GROWTH</t>
  </si>
  <si>
    <t xml:space="preserve">Year 1 — Sovereignty users (end of year)</t>
  </si>
  <si>
    <t xml:space="preserve">Founding lineage + organic + social</t>
  </si>
  <si>
    <t xml:space="preserve">Year 1 — Sov → Examined Life conversion</t>
  </si>
  <si>
    <t xml:space="preserve">Conservative: 8%</t>
  </si>
  <si>
    <t xml:space="preserve">Annual Sovereignty growth rate (Y2-5)</t>
  </si>
  <si>
    <t xml:space="preserve">150% YoY — declining curve realistic</t>
  </si>
  <si>
    <t xml:space="preserve">Annual conversion rate improvement (Y2-5)</t>
  </si>
  <si>
    <t xml:space="preserve">Improves 2pp per year as product matures</t>
  </si>
  <si>
    <t xml:space="preserve">Annual Examined Life organic growth (direct)</t>
  </si>
  <si>
    <t xml:space="preserve">30% YoY from direct sign-ups (philosophy audience)</t>
  </si>
  <si>
    <t xml:space="preserve">Monthly churn — Sovereignty</t>
  </si>
  <si>
    <t xml:space="preserve">4% — higher, lower commitment</t>
  </si>
  <si>
    <t xml:space="preserve">Monthly churn — Examined Life</t>
  </si>
  <si>
    <t xml:space="preserve">2% — stickier, deeper product</t>
  </si>
  <si>
    <t xml:space="preserve">ACTUAL COSTS (Monthly)</t>
  </si>
  <si>
    <t xml:space="preserve">Vercel Pro hosting</t>
  </si>
  <si>
    <t xml:space="preserve">mowinckel.ai</t>
  </si>
  <si>
    <t xml:space="preserve">Claude Max 5x</t>
  </si>
  <si>
    <t xml:space="preserve">$100/month</t>
  </si>
  <si>
    <t xml:space="preserve">Total monthly operating costs</t>
  </si>
  <si>
    <t xml:space="preserve">$120/month. Railway free. Domain owned. No other tools.</t>
  </si>
  <si>
    <t xml:space="preserve">Annual operating costs</t>
  </si>
  <si>
    <t xml:space="preserve">ONE-TIME COSTS</t>
  </si>
  <si>
    <t xml:space="preserve">Stripe Atlas (Delaware C-Corp)</t>
  </si>
  <si>
    <t xml:space="preserve">Paid. Incorporation complete.</t>
  </si>
  <si>
    <t xml:space="preserve">Delaware franchise tax (annual)</t>
  </si>
  <si>
    <t xml:space="preserve">Minimum $400/yr for small corps. Due June 1.</t>
  </si>
  <si>
    <t xml:space="preserve">California foreign qualification</t>
  </si>
  <si>
    <t xml:space="preserve">Filing fee. Needed before meaningful CA operations.</t>
  </si>
  <si>
    <t xml:space="preserve">California franchise tax (annual)</t>
  </si>
  <si>
    <t xml:space="preserve">Minimum $800/yr. Due after CA qualification.</t>
  </si>
  <si>
    <t xml:space="preserve">Registered agent (annual)</t>
  </si>
  <si>
    <t xml:space="preserve">Delaware registered agent service</t>
  </si>
  <si>
    <t xml:space="preserve">Federal corporate return (CPA)</t>
  </si>
  <si>
    <t xml:space="preserve">Estimate — startup CPA, first filing early 2027</t>
  </si>
  <si>
    <t xml:space="preserve">State tax return(s) (CPA)</t>
  </si>
  <si>
    <t xml:space="preserve">Estimate — DE + CA</t>
  </si>
  <si>
    <t xml:space="preserve">MacBook</t>
  </si>
  <si>
    <t xml:space="preserve">One-time hardware purchase</t>
  </si>
  <si>
    <t xml:space="preserve">Total Year 1 one-time costs</t>
  </si>
  <si>
    <t xml:space="preserve">FOUNDER COSTS (Monthly)</t>
  </si>
  <si>
    <t xml:space="preserve">Food (meal prep, ~$55/week)</t>
  </si>
  <si>
    <t xml:space="preserve">$55/week meal prep</t>
  </si>
  <si>
    <t xml:space="preserve">Health insurance (Medi-Cal)</t>
  </si>
  <si>
    <t xml:space="preserve">Free — Medi-Cal</t>
  </si>
  <si>
    <t xml:space="preserve">Transport</t>
  </si>
  <si>
    <t xml:space="preserve">Walking. Downtown SF.</t>
  </si>
  <si>
    <t xml:space="preserve">T-Mobile plan</t>
  </si>
  <si>
    <t xml:space="preserve">Phone plan</t>
  </si>
  <si>
    <t xml:space="preserve">Rent</t>
  </si>
  <si>
    <t xml:space="preserve">Living with a friend. No rent obligation.</t>
  </si>
  <si>
    <t xml:space="preserve">Total monthly founder costs</t>
  </si>
  <si>
    <t xml:space="preserve">$280/month. Total burn with company: $400/month.</t>
  </si>
  <si>
    <t xml:space="preserve">Annual founder costs</t>
  </si>
  <si>
    <t xml:space="preserve">MARKETING / ADS</t>
  </si>
  <si>
    <t xml:space="preserve">Year 1 ad spend (monthly)</t>
  </si>
  <si>
    <t xml:space="preserve">Modest — brand seeding, community, events. ~$500/mo from raise.</t>
  </si>
  <si>
    <t xml:space="preserve">Year 2+ ad spend (monthly)</t>
  </si>
  <si>
    <t xml:space="preserve">Scales modestly with revenue. Ads, events, merch.</t>
  </si>
  <si>
    <t xml:space="preserve">Engineering hire</t>
  </si>
  <si>
    <t xml:space="preserve">None. Solo founder + AI agents. No hires planned.</t>
  </si>
  <si>
    <t xml:space="preserve">EXIT / VALUATION</t>
  </si>
  <si>
    <t xml:space="preserve">Revenue multiple (SaaS)</t>
  </si>
  <si>
    <t xml:space="preserve">10x ARR — standard early SaaS</t>
  </si>
  <si>
    <t xml:space="preserve">Strategic premium (dataset)</t>
  </si>
  <si>
    <t xml:space="preserve">2x on top for unique dataset asset</t>
  </si>
  <si>
    <t xml:space="preserve">Year 5 exit multiple</t>
  </si>
  <si>
    <t xml:space="preserve">10x × 2x = 20x</t>
  </si>
  <si>
    <t xml:space="preserve">LIBRARY FOR LABS (Year 3+)</t>
  </si>
  <si>
    <t xml:space="preserve">Year 3 — first B2B contracts</t>
  </si>
  <si>
    <t xml:space="preserve">Conservative: 2 lab contracts</t>
  </si>
  <si>
    <t xml:space="preserve">Average annual contract value</t>
  </si>
  <si>
    <t xml:space="preserve">Per-lab, per-year</t>
  </si>
  <si>
    <t xml:space="preserve">Year 4 — contracts</t>
  </si>
  <si>
    <t xml:space="preserve">Year 5 — contracts</t>
  </si>
  <si>
    <t xml:space="preserve">Critical mass building</t>
  </si>
  <si>
    <t xml:space="preserve">Library for People (Year 4+, annual)</t>
  </si>
  <si>
    <t xml:space="preserve">Persona query rev-share, small at first</t>
  </si>
  <si>
    <t xml:space="preserve">Alexandria — 5-Year Revenue Projections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</si>
  <si>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</si>
  <si>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</si>
  <si>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</si>
  <si>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</si>
  <si>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</si>
  <si>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USERS</t>
  </si>
  <si>
    <t xml:space="preserve">Sovereignty users (end of year)</t>
  </si>
  <si>
    <t xml:space="preserve">Sov → Examined Life conversion rate</t>
  </si>
  <si>
    <t xml:space="preserve">Converted to Examined Life</t>
  </si>
  <si>
    <t xml:space="preserve">Examined Life (direct sign-ups, cumulative)</t>
  </si>
  <si>
    <t xml:space="preserve">Total Examined Life users (end of year)</t>
  </si>
  <si>
    <t xml:space="preserve">Total paying users</t>
  </si>
  <si>
    <t xml:space="preserve">ANNUAL REVENUE</t>
  </si>
  <si>
    <t xml:space="preserve">Sovereignty subscription revenue</t>
  </si>
  <si>
    <t xml:space="preserve">Examined Life subscription revenue</t>
  </si>
  <si>
    <t xml:space="preserve">Total subscription revenue</t>
  </si>
  <si>
    <t xml:space="preserve">Library for Labs (B2B)</t>
  </si>
  <si>
    <t xml:space="preserve">Library for People (rev-share)</t>
  </si>
  <si>
    <t xml:space="preserve">Total Library revenue</t>
  </si>
  <si>
    <t xml:space="preserve">TOTAL REVENUE</t>
  </si>
  <si>
    <t xml:space="preserve">ANNUAL COSTS</t>
  </si>
  <si>
    <t xml:space="preserve">Vercel hosting</t>
  </si>
  <si>
    <t xml:space="preserve">Claude Max 5x subscription</t>
  </si>
  <si>
    <t xml:space="preserve">MCP server (Railway)</t>
  </si>
  <si>
    <t xml:space="preserve">Other tools &amp; services</t>
  </si>
  <si>
    <t xml:space="preserve">Stripe processing fees</t>
  </si>
  <si>
    <t xml:space="preserve">Taxes, permits, filings &amp; one-time</t>
  </si>
  <si>
    <t xml:space="preserve">Ads / marketing</t>
  </si>
  <si>
    <t xml:space="preserve">Founder living costs</t>
  </si>
  <si>
    <t xml:space="preserve">Total costs</t>
  </si>
  <si>
    <t xml:space="preserve">PROFITABILITY</t>
  </si>
  <si>
    <t xml:space="preserve">Net income (loss)</t>
  </si>
  <si>
    <t xml:space="preserve">Cumulative net income</t>
  </si>
  <si>
    <t xml:space="preserve">Gross margin</t>
  </si>
  <si>
    <t xml:space="preserve">ARR (annualised)</t>
  </si>
  <si>
    <t xml:space="preserve">EXIT VALUATION (Year 5)</t>
  </si>
  <si>
    <t xml:space="preserve">Year 5 ARR</t>
  </si>
  <si>
    <t xml:space="preserve">Exit multiple (SaaS + strategic premium)</t>
  </si>
  <si>
    <t xml:space="preserve">Implied exit valuation</t>
  </si>
  <si>
    <t xml:space="preserve">Investor return on $50K at 5% equity</t>
  </si>
  <si>
    <t xml:space="preserve">Return multiple (MOM)</t>
  </si>
  <si>
    <t xml:space="preserve">KEY METRICS</t>
  </si>
  <si>
    <t xml:space="preserve">Break-even subscribers (Sovereignty at $5)</t>
  </si>
  <si>
    <t xml:space="preserve">Break-even (with kin, blended $7 ARPU)</t>
  </si>
  <si>
    <t xml:space="preserve">Break-even (Examined Life at $20, worst case)</t>
  </si>
  <si>
    <t xml:space="preserve">Total monthly burn</t>
  </si>
  <si>
    <t xml:space="preserve">$400 ($120 company + $280 founder)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</si>
</sst>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"/>
    <numFmt numFmtId="167" formatCode="0.0%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7" customFormat="false" ht="15" hidden="false" customHeight="true" outlineLevel="0" collapsed="false">
      <c r="A7" s="4" t="s">
        <v>6</v>
      </c>
    </row>
    <row r="8" customFormat="false" ht="15" hidden="false" customHeight="true" outlineLevel="0" collapsed="false">
      <c r="A8" s="1" t="s">
        <v>7</v>
      </c>
      <c r="B8" s="6" t="n">
        <v>5</v>
      </c>
      <c r="C8" s="7" t="s">
        <v>8</v>
      </c>
    </row>
    <row r="9" customFormat="false" ht="15" hidden="false" customHeight="true" outlineLevel="0" collapsed="false">
      <c r="A9" s="1" t="s">
        <v>9</v>
      </c>
      <c r="B9" s="6" t="n">
        <v>10</v>
      </c>
      <c r="C9" s="7" t="s">
        <v>8</v>
      </c>
    </row>
    <row r="10" customFormat="false" ht="15" hidden="false" customHeight="true" outlineLevel="0" collapsed="false">
      <c r="A10" s="1" t="s">
        <v>10</v>
      </c>
      <c r="B10" s="6" t="n">
        <v>15</v>
      </c>
      <c r="C10" s="7" t="s">
        <v>8</v>
      </c>
    </row>
    <row r="11" customFormat="false" ht="15" hidden="false" customHeight="true" outlineLevel="0" collapsed="false">
      <c r="A11" s="1" t="s">
        <v>11</v>
      </c>
      <c r="B11" s="6" t="n">
        <v>20</v>
      </c>
      <c r="C11" s="7" t="s">
        <v>8</v>
      </c>
    </row>
    <row r="12" customFormat="false" ht="15" hidden="false" customHeight="true" outlineLevel="0" collapsed="false">
      <c r="A12" s="1" t="s">
        <v>12</v>
      </c>
      <c r="B12" s="6" t="n">
        <v>0.029</v>
      </c>
      <c r="C12" s="7" t="s">
        <v>13</v>
      </c>
    </row>
    <row r="13" customFormat="false" ht="15" hidden="false" customHeight="true" outlineLevel="0" collapsed="false">
      <c r="A13" s="1" t="s">
        <v>14</v>
      </c>
      <c r="B13" s="6" t="n">
        <v>0.3</v>
      </c>
      <c r="C13" s="7" t="s">
        <v>15</v>
      </c>
    </row>
    <row r="14" customFormat="false" ht="15" hidden="false" customHeight="true" outlineLevel="0" collapsed="false">
      <c r="A14" s="1" t="s">
        <v>16</v>
      </c>
      <c r="B14" s="6" t="n">
        <v>0.6</v>
      </c>
      <c r="C14" s="7" t="s">
        <v>17</v>
      </c>
    </row>
    <row r="15" customFormat="false" ht="15" hidden="false" customHeight="true" outlineLevel="0" collapsed="false">
      <c r="A15" s="1" t="s">
        <v>18</v>
      </c>
      <c r="B15" s="8" t="n">
        <f aca="false">B14*(1-B8)+B9*(1-B14)</f>
        <v>1.6</v>
      </c>
      <c r="C15" s="7" t="s">
        <v>19</v>
      </c>
    </row>
    <row r="16" customFormat="false" ht="15" hidden="false" customHeight="true" outlineLevel="0" collapsed="false">
      <c r="A16" s="1" t="s">
        <v>20</v>
      </c>
      <c r="B16" s="8" t="n">
        <f aca="false">B10*(1-B14)+B11*(1-B14)</f>
        <v>14</v>
      </c>
      <c r="C16" s="7" t="s">
        <v>21</v>
      </c>
    </row>
    <row r="18" customFormat="false" ht="15" hidden="false" customHeight="true" outlineLevel="0" collapsed="false">
      <c r="A18" s="4" t="s">
        <v>22</v>
      </c>
    </row>
    <row r="19" customFormat="false" ht="15" hidden="false" customHeight="true" outlineLevel="0" collapsed="false">
      <c r="A19" s="1" t="s">
        <v>23</v>
      </c>
      <c r="B19" s="6" t="n">
        <v>2000</v>
      </c>
      <c r="C19" s="7" t="s">
        <v>24</v>
      </c>
    </row>
    <row r="20" customFormat="false" ht="15" hidden="false" customHeight="true" outlineLevel="0" collapsed="false">
      <c r="A20" s="1" t="s">
        <v>25</v>
      </c>
      <c r="B20" s="6" t="n">
        <v>0.08</v>
      </c>
      <c r="C20" s="7" t="s">
        <v>26</v>
      </c>
    </row>
    <row r="21" customFormat="false" ht="15" hidden="false" customHeight="true" outlineLevel="0" collapsed="false">
      <c r="A21" s="1" t="s">
        <v>27</v>
      </c>
      <c r="B21" s="6" t="n">
        <v>1.5</v>
      </c>
      <c r="C21" s="7" t="s">
        <v>28</v>
      </c>
    </row>
    <row r="22" customFormat="false" ht="15" hidden="false" customHeight="true" outlineLevel="0" collapsed="false">
      <c r="A22" s="1" t="s">
        <v>29</v>
      </c>
      <c r="B22" s="6" t="n">
        <v>0.02</v>
      </c>
      <c r="C22" s="7" t="s">
        <v>30</v>
      </c>
    </row>
    <row r="23" customFormat="false" ht="15" hidden="false" customHeight="true" outlineLevel="0" collapsed="false">
      <c r="A23" s="1" t="s">
        <v>31</v>
      </c>
      <c r="B23" s="6" t="n">
        <v>0.3</v>
      </c>
      <c r="C23" s="7" t="s">
        <v>32</v>
      </c>
    </row>
    <row r="24" customFormat="false" ht="15" hidden="false" customHeight="true" outlineLevel="0" collapsed="false">
      <c r="A24" s="1" t="s">
        <v>33</v>
      </c>
      <c r="B24" s="6" t="n">
        <v>0.04</v>
      </c>
      <c r="C24" s="7" t="s">
        <v>34</v>
      </c>
    </row>
    <row r="25" customFormat="false" ht="15" hidden="false" customHeight="true" outlineLevel="0" collapsed="false">
      <c r="A25" s="1" t="s">
        <v>35</v>
      </c>
      <c r="B25" s="6" t="n">
        <v>0.02</v>
      </c>
      <c r="C25" s="7" t="s">
        <v>36</v>
      </c>
    </row>
    <row r="27" customFormat="false" ht="15" hidden="false" customHeight="true" outlineLevel="0" collapsed="false">
      <c r="A27" s="4" t="s">
        <v>37</v>
      </c>
    </row>
    <row r="28" customFormat="false" ht="15" hidden="false" customHeight="true" outlineLevel="0" collapsed="false">
      <c r="A28" s="1" t="s">
        <v>38</v>
      </c>
      <c r="B28" s="9" t="n">
        <v>20</v>
      </c>
      <c r="C28" s="7" t="s">
        <v>39</v>
      </c>
    </row>
    <row r="29" customFormat="false" ht="15" hidden="false" customHeight="true" outlineLevel="0" collapsed="false">
      <c r="A29" s="1" t="s">
        <v>40</v>
      </c>
      <c r="B29" s="9" t="n">
        <v>100</v>
      </c>
      <c r="C29" s="7" t="s">
        <v>41</v>
      </c>
    </row>
    <row r="30" customFormat="false" ht="15" hidden="false" customHeight="true" outlineLevel="0" collapsed="false">
      <c r="B30" s="6"/>
      <c r="C30" s="7"/>
    </row>
    <row r="31" customFormat="false" ht="15" hidden="false" customHeight="true" outlineLevel="0" collapsed="false">
      <c r="B31" s="9"/>
      <c r="C31" s="7"/>
    </row>
    <row r="32" customFormat="false" ht="15" hidden="false" customHeight="true" outlineLevel="0" collapsed="false">
      <c r="B32" s="9"/>
      <c r="C32" s="7"/>
    </row>
    <row r="33" customFormat="false" ht="15" hidden="false" customHeight="true" outlineLevel="0" collapsed="false">
      <c r="A33" s="1" t="s">
        <v>42</v>
      </c>
      <c r="B33" s="10" t="n">
        <f aca="false">B28+B29</f>
        <v>120</v>
      </c>
      <c r="C33" s="7" t="s">
        <v>43</v>
      </c>
    </row>
    <row r="34" customFormat="false" ht="15" hidden="false" customHeight="true" outlineLevel="0" collapsed="false">
      <c r="A34" s="1" t="s">
        <v>44</v>
      </c>
      <c r="B34" s="10" t="n">
        <f aca="false">B33*12</f>
        <v>1440</v>
      </c>
    </row>
    <row r="36" customFormat="false" ht="15" hidden="false" customHeight="true" outlineLevel="0" collapsed="false">
      <c r="A36" s="4" t="s">
        <v>45</v>
      </c>
    </row>
    <row r="37" customFormat="false" ht="15" hidden="false" customHeight="true" outlineLevel="0" collapsed="false">
      <c r="A37" s="1" t="s">
        <v>46</v>
      </c>
      <c r="B37" s="6" t="n">
        <v>500</v>
      </c>
      <c r="C37" s="7" t="s">
        <v>47</v>
      </c>
    </row>
    <row r="38" customFormat="false" ht="15" hidden="false" customHeight="true" outlineLevel="0" collapsed="false">
      <c r="A38" s="1" t="s">
        <v>48</v>
      </c>
      <c r="B38" s="6" t="n">
        <v>400</v>
      </c>
      <c r="C38" s="7" t="s">
        <v>49</v>
      </c>
    </row>
    <row r="39" customFormat="false" ht="15" hidden="false" customHeight="true" outlineLevel="0" collapsed="false">
      <c r="A39" s="1" t="s">
        <v>50</v>
      </c>
      <c r="B39" s="6" t="n">
        <v>150</v>
      </c>
      <c r="C39" s="7" t="s">
        <v>51</v>
      </c>
    </row>
    <row r="40" customFormat="false" ht="15" hidden="false" customHeight="true" outlineLevel="0" collapsed="false">
      <c r="A40" s="1" t="s">
        <v>52</v>
      </c>
      <c r="B40" s="6" t="n">
        <v>800</v>
      </c>
      <c r="C40" s="7" t="s">
        <v>53</v>
      </c>
    </row>
    <row r="41" customFormat="false" ht="15" hidden="false" customHeight="true" outlineLevel="0" collapsed="false">
      <c r="A41" s="1" t="s">
        <v>54</v>
      </c>
      <c r="B41" s="6" t="n">
        <v>150</v>
      </c>
      <c r="C41" s="7" t="s">
        <v>55</v>
      </c>
    </row>
    <row r="42" customFormat="false" ht="15" hidden="false" customHeight="true" outlineLevel="0" collapsed="false">
      <c r="A42" s="1" t="s">
        <v>56</v>
      </c>
      <c r="B42" s="6" t="n">
        <v>1500</v>
      </c>
      <c r="C42" s="7" t="s">
        <v>57</v>
      </c>
    </row>
    <row r="43" customFormat="false" ht="15" hidden="false" customHeight="true" outlineLevel="0" collapsed="false">
      <c r="A43" s="1" t="s">
        <v>58</v>
      </c>
      <c r="B43" s="6" t="n">
        <v>500</v>
      </c>
      <c r="C43" s="7" t="s">
        <v>59</v>
      </c>
    </row>
    <row r="44" customFormat="false" ht="15" hidden="false" customHeight="true" outlineLevel="0" collapsed="false">
      <c r="A44" s="11" t="s">
        <v>60</v>
      </c>
      <c r="B44" s="9" t="n">
        <v>1000</v>
      </c>
      <c r="C44" s="1" t="s">
        <v>61</v>
      </c>
    </row>
    <row r="45" customFormat="false" ht="15" hidden="false" customHeight="true" outlineLevel="0" collapsed="false">
      <c r="A45" s="1" t="s">
        <v>62</v>
      </c>
      <c r="B45" s="10" t="n">
        <f aca="false">SUM(B37:B44)</f>
        <v>5000</v>
      </c>
    </row>
    <row r="46" customFormat="false" ht="15" hidden="false" customHeight="true" outlineLevel="0" collapsed="false"/>
    <row r="47" customFormat="false" ht="15" hidden="false" customHeight="true" outlineLevel="0" collapsed="false">
      <c r="A47" s="4" t="s">
        <v>63</v>
      </c>
    </row>
    <row r="48" customFormat="false" ht="15" hidden="false" customHeight="true" outlineLevel="0" collapsed="false">
      <c r="A48" s="1" t="s">
        <v>64</v>
      </c>
      <c r="B48" s="9" t="n">
        <v>220</v>
      </c>
      <c r="C48" s="7" t="s">
        <v>65</v>
      </c>
    </row>
    <row r="49" customFormat="false" ht="15" hidden="false" customHeight="true" outlineLevel="0" collapsed="false">
      <c r="A49" s="1" t="s">
        <v>66</v>
      </c>
      <c r="B49" s="9" t="n">
        <v>0</v>
      </c>
      <c r="C49" s="7" t="s">
        <v>67</v>
      </c>
    </row>
    <row r="50" customFormat="false" ht="15" hidden="false" customHeight="true" outlineLevel="0" collapsed="false">
      <c r="A50" s="1" t="s">
        <v>68</v>
      </c>
      <c r="B50" s="9" t="n">
        <v>0</v>
      </c>
      <c r="C50" s="7" t="s">
        <v>69</v>
      </c>
    </row>
    <row r="51" customFormat="false" ht="15" hidden="false" customHeight="true" outlineLevel="0" collapsed="false">
      <c r="A51" s="1" t="s">
        <v>70</v>
      </c>
      <c r="B51" s="9" t="n">
        <v>60</v>
      </c>
      <c r="C51" s="7" t="s">
        <v>71</v>
      </c>
    </row>
    <row r="52" customFormat="false" ht="15" hidden="false" customHeight="true" outlineLevel="0" collapsed="false">
      <c r="A52" s="1" t="s">
        <v>72</v>
      </c>
      <c r="B52" s="9" t="n">
        <v>0</v>
      </c>
      <c r="C52" s="7" t="s">
        <v>73</v>
      </c>
    </row>
    <row r="53" customFormat="false" ht="15" hidden="false" customHeight="true" outlineLevel="0" collapsed="false">
      <c r="B53" s="9"/>
      <c r="C53" s="7"/>
    </row>
    <row r="54" customFormat="false" ht="15" hidden="false" customHeight="true" outlineLevel="0" collapsed="false">
      <c r="A54" s="1" t="s">
        <v>74</v>
      </c>
      <c r="B54" s="10" t="n">
        <f aca="false">B48+B49+B50+B51+B52</f>
        <v>280</v>
      </c>
      <c r="C54" s="1" t="s">
        <v>75</v>
      </c>
    </row>
    <row r="55" customFormat="false" ht="15" hidden="false" customHeight="true" outlineLevel="0" collapsed="false">
      <c r="A55" s="1" t="s">
        <v>76</v>
      </c>
      <c r="B55" s="10" t="n">
        <f aca="false">B54*12</f>
        <v>3360</v>
      </c>
    </row>
    <row r="56" customFormat="false" ht="15" hidden="false" customHeight="true" outlineLevel="0" collapsed="false"/>
    <row r="57" customFormat="false" ht="15" hidden="false" customHeight="true" outlineLevel="0" collapsed="false">
      <c r="A57" s="4" t="s">
        <v>77</v>
      </c>
    </row>
    <row r="58" customFormat="false" ht="15" hidden="false" customHeight="true" outlineLevel="0" collapsed="false">
      <c r="A58" s="1" t="s">
        <v>78</v>
      </c>
      <c r="B58" s="6" t="n">
        <v>500</v>
      </c>
      <c r="C58" s="7" t="s">
        <v>79</v>
      </c>
    </row>
    <row r="59" customFormat="false" ht="15" hidden="false" customHeight="true" outlineLevel="0" collapsed="false">
      <c r="A59" s="1" t="s">
        <v>80</v>
      </c>
      <c r="B59" s="6" t="n">
        <v>1000</v>
      </c>
      <c r="C59" s="7" t="s">
        <v>81</v>
      </c>
    </row>
    <row r="60" customFormat="false" ht="15" hidden="false" customHeight="true" outlineLevel="0" collapsed="false">
      <c r="A60" s="1" t="s">
        <v>82</v>
      </c>
      <c r="B60" s="6" t="n">
        <v>0</v>
      </c>
      <c r="C60" s="7" t="s">
        <v>83</v>
      </c>
    </row>
    <row r="61" customFormat="false" ht="15" hidden="false" customHeight="true" outlineLevel="0" collapsed="false"/>
    <row r="62" customFormat="false" ht="15" hidden="false" customHeight="true" outlineLevel="0" collapsed="false">
      <c r="A62" s="4" t="s">
        <v>84</v>
      </c>
    </row>
    <row r="63" customFormat="false" ht="15" hidden="false" customHeight="true" outlineLevel="0" collapsed="false">
      <c r="A63" s="1" t="s">
        <v>85</v>
      </c>
      <c r="B63" s="6" t="n">
        <v>10</v>
      </c>
      <c r="C63" s="7" t="s">
        <v>86</v>
      </c>
    </row>
    <row r="64" customFormat="false" ht="15" hidden="false" customHeight="true" outlineLevel="0" collapsed="false">
      <c r="A64" s="1" t="s">
        <v>87</v>
      </c>
      <c r="B64" s="6" t="n">
        <v>2</v>
      </c>
      <c r="C64" s="7" t="s">
        <v>88</v>
      </c>
    </row>
    <row r="65" customFormat="false" ht="15" hidden="false" customHeight="true" outlineLevel="0" collapsed="false">
      <c r="A65" s="1" t="s">
        <v>89</v>
      </c>
      <c r="B65" s="8" t="n">
        <v>20</v>
      </c>
      <c r="C65" s="7" t="s">
        <v>90</v>
      </c>
    </row>
    <row r="66" customFormat="false" ht="15" hidden="false" customHeight="true" outlineLevel="0" collapsed="false"/>
    <row r="67" customFormat="false" ht="15" hidden="false" customHeight="true" outlineLevel="0" collapsed="false">
      <c r="A67" s="4" t="s">
        <v>91</v>
      </c>
    </row>
    <row r="68" customFormat="false" ht="15" hidden="false" customHeight="true" outlineLevel="0" collapsed="false">
      <c r="A68" s="1" t="s">
        <v>92</v>
      </c>
      <c r="B68" s="6" t="n">
        <v>2</v>
      </c>
      <c r="C68" s="7" t="s">
        <v>93</v>
      </c>
    </row>
    <row r="69" customFormat="false" ht="15" hidden="false" customHeight="true" outlineLevel="0" collapsed="false">
      <c r="A69" s="1" t="s">
        <v>94</v>
      </c>
      <c r="B69" s="6" t="n">
        <v>50000</v>
      </c>
      <c r="C69" s="7" t="s">
        <v>95</v>
      </c>
    </row>
    <row r="70" customFormat="false" ht="15" hidden="false" customHeight="true" outlineLevel="0" collapsed="false">
      <c r="A70" s="1" t="s">
        <v>96</v>
      </c>
      <c r="B70" s="6" t="n">
        <v>5</v>
      </c>
      <c r="C70" s="7"/>
    </row>
    <row r="71" customFormat="false" ht="15" hidden="false" customHeight="true" outlineLevel="0" collapsed="false">
      <c r="A71" s="1" t="s">
        <v>97</v>
      </c>
      <c r="B71" s="6" t="n">
        <v>12</v>
      </c>
      <c r="C71" s="7" t="s">
        <v>98</v>
      </c>
    </row>
    <row r="72" customFormat="false" ht="15" hidden="false" customHeight="true" outlineLevel="0" collapsed="false">
      <c r="A72" s="1" t="s">
        <v>99</v>
      </c>
      <c r="B72" s="6" t="n">
        <v>25000</v>
      </c>
      <c r="C72" s="7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101</v>
      </c>
    </row>
    <row r="3" customFormat="false" ht="15" hidden="false" customHeight="true" outlineLevel="0" collapsed="false">
      <c r="B3" s="12" t="s">
        <v>102</v>
      </c>
      <c r="C3" s="12" t="s">
        <v>103</v>
      </c>
      <c r="D3" s="12" t="s">
        <v>104</v>
      </c>
      <c r="E3" s="12" t="s">
        <v>105</v>
      </c>
      <c r="F3" s="12" t="s">
        <v>106</v>
      </c>
    </row>
    <row r="4" customFormat="false" ht="15" hidden="false" customHeight="true" outlineLevel="0" collapsed="false">
      <c r="A4" s="4" t="s">
        <v>107</v>
      </c>
    </row>
    <row r="5" customFormat="false" ht="15" hidden="false" customHeight="true" outlineLevel="0" collapsed="false">
      <c r="A5" s="1" t="s">
        <v>108</v>
      </c>
      <c r="B5" s="13" t="n">
        <v>2000</v>
      </c>
      <c r="C5" s="13" t="n">
        <v>5000</v>
      </c>
      <c r="D5" s="13" t="n">
        <v>11000</v>
      </c>
      <c r="E5" s="13" t="n">
        <v>20900</v>
      </c>
      <c r="F5" s="13" t="n">
        <v>33440</v>
      </c>
    </row>
    <row r="6" customFormat="false" ht="15" hidden="false" customHeight="true" outlineLevel="0" collapsed="false">
      <c r="A6" s="1" t="s">
        <v>109</v>
      </c>
      <c r="B6" s="14" t="n">
        <v>0.08</v>
      </c>
      <c r="C6" s="14" t="n">
        <v>0.1</v>
      </c>
      <c r="D6" s="14" t="n">
        <v>0.12</v>
      </c>
      <c r="E6" s="14" t="n">
        <v>0.14</v>
      </c>
      <c r="F6" s="14" t="n">
        <v>0.16</v>
      </c>
    </row>
    <row r="7" customFormat="false" ht="15" hidden="false" customHeight="true" outlineLevel="0" collapsed="false">
      <c r="A7" s="1" t="s">
        <v>110</v>
      </c>
      <c r="B7" s="15" t="n">
        <f aca="false">B5*B6</f>
        <v>160</v>
      </c>
      <c r="C7" s="15" t="n">
        <f aca="false">C5*C6</f>
        <v>500</v>
      </c>
      <c r="D7" s="15" t="n">
        <f aca="false">D5*D6</f>
        <v>1320</v>
      </c>
      <c r="E7" s="15" t="n">
        <f aca="false">E5*E6</f>
        <v>2926</v>
      </c>
      <c r="F7" s="15" t="n">
        <f aca="false">F5*F6</f>
        <v>5350.4</v>
      </c>
    </row>
    <row r="8" customFormat="false" ht="15" hidden="false" customHeight="true" outlineLevel="0" collapsed="false">
      <c r="A8" s="1" t="s">
        <v>111</v>
      </c>
      <c r="B8" s="6" t="n">
        <v>50</v>
      </c>
      <c r="C8" s="1" t="n">
        <f aca="false">B8*1.3</f>
        <v>65</v>
      </c>
      <c r="D8" s="1" t="n">
        <f aca="false">C8*1.3</f>
        <v>84.5</v>
      </c>
      <c r="E8" s="1" t="n">
        <f aca="false">D8*1.3</f>
        <v>109.85</v>
      </c>
      <c r="F8" s="1" t="n">
        <f aca="false">E8*1.3</f>
        <v>142.805</v>
      </c>
    </row>
    <row r="9" customFormat="false" ht="15" hidden="false" customHeight="true" outlineLevel="0" collapsed="false">
      <c r="A9" s="1" t="s">
        <v>112</v>
      </c>
      <c r="B9" s="15" t="n">
        <f aca="false">B7+B8</f>
        <v>210</v>
      </c>
      <c r="C9" s="15" t="n">
        <f aca="false">C7+C8</f>
        <v>565</v>
      </c>
      <c r="D9" s="15" t="n">
        <f aca="false">D7+D8</f>
        <v>1404.5</v>
      </c>
      <c r="E9" s="15" t="n">
        <f aca="false">E7+E8</f>
        <v>3035.85</v>
      </c>
      <c r="F9" s="15" t="n">
        <f aca="false">F7+F8</f>
        <v>5493.205</v>
      </c>
    </row>
    <row r="10" customFormat="false" ht="15" hidden="false" customHeight="true" outlineLevel="0" collapsed="false">
      <c r="A10" s="1" t="s">
        <v>113</v>
      </c>
      <c r="B10" s="16" t="n">
        <f aca="false">B5+B9</f>
        <v>2210</v>
      </c>
      <c r="C10" s="16" t="n">
        <f aca="false">C5+C9</f>
        <v>5565</v>
      </c>
      <c r="D10" s="16" t="n">
        <f aca="false">D5+D9</f>
        <v>12404.5</v>
      </c>
      <c r="E10" s="16" t="n">
        <f aca="false">E5+E9</f>
        <v>23935.85</v>
      </c>
      <c r="F10" s="16" t="n">
        <f aca="false">F5+F9</f>
        <v>38933.205</v>
      </c>
    </row>
    <row r="12" customFormat="false" ht="15" hidden="false" customHeight="true" outlineLevel="0" collapsed="false">
      <c r="A12" s="4" t="s">
        <v>114</v>
      </c>
    </row>
    <row r="13" customFormat="false" ht="15" hidden="false" customHeight="true" outlineLevel="0" collapsed="false">
      <c r="A13" s="1" t="s">
        <v>115</v>
      </c>
      <c r="B13" s="15" t="n">
        <f aca="false">B5*7*12</f>
        <v>168000</v>
      </c>
      <c r="C13" s="15" t="n">
        <f aca="false">C5*7*12</f>
        <v>420000</v>
      </c>
      <c r="D13" s="15" t="n">
        <f aca="false">D5*7*12</f>
        <v>924000</v>
      </c>
      <c r="E13" s="15" t="n">
        <f aca="false">E5*7*12</f>
        <v>1755600</v>
      </c>
      <c r="F13" s="15" t="n">
        <f aca="false">F5*7*12</f>
        <v>2808960</v>
      </c>
    </row>
    <row r="14" customFormat="false" ht="15" hidden="false" customHeight="true" outlineLevel="0" collapsed="false">
      <c r="A14" s="1" t="s">
        <v>116</v>
      </c>
      <c r="B14" s="15" t="n">
        <f aca="false">B9*17*12</f>
        <v>42840</v>
      </c>
      <c r="C14" s="15" t="n">
        <f aca="false">C9*17*12</f>
        <v>115260</v>
      </c>
      <c r="D14" s="15" t="n">
        <f aca="false">D9*17*12</f>
        <v>286518</v>
      </c>
      <c r="E14" s="15" t="n">
        <f aca="false">E9*17*12</f>
        <v>619313.4</v>
      </c>
      <c r="F14" s="15" t="n">
        <f aca="false">F9*17*12</f>
        <v>1120613.82</v>
      </c>
    </row>
    <row r="15" customFormat="false" ht="15" hidden="false" customHeight="true" outlineLevel="0" collapsed="false">
      <c r="A15" s="1" t="s">
        <v>117</v>
      </c>
      <c r="B15" s="16" t="n">
        <f aca="false">B13+B14</f>
        <v>210840</v>
      </c>
      <c r="C15" s="16" t="n">
        <f aca="false">C13+C14</f>
        <v>535260</v>
      </c>
      <c r="D15" s="16" t="n">
        <f aca="false">D13+D14</f>
        <v>1210518</v>
      </c>
      <c r="E15" s="16" t="n">
        <f aca="false">E13+E14</f>
        <v>2374913.4</v>
      </c>
      <c r="F15" s="16" t="n">
        <f aca="false">F13+F14</f>
        <v>3929573.82</v>
      </c>
    </row>
    <row r="17" customFormat="false" ht="15" hidden="false" customHeight="true" outlineLevel="0" collapsed="false">
      <c r="A17" s="1" t="s">
        <v>118</v>
      </c>
      <c r="B17" s="6" t="n">
        <v>0</v>
      </c>
      <c r="C17" s="6" t="n">
        <v>0</v>
      </c>
      <c r="D17" s="13" t="n">
        <v>100000</v>
      </c>
      <c r="E17" s="13" t="n">
        <v>250000</v>
      </c>
      <c r="F17" s="13" t="n">
        <v>600000</v>
      </c>
    </row>
    <row r="18" customFormat="false" ht="15" hidden="false" customHeight="true" outlineLevel="0" collapsed="false">
      <c r="A18" s="1" t="s">
        <v>119</v>
      </c>
      <c r="B18" s="6" t="n">
        <v>0</v>
      </c>
      <c r="C18" s="6" t="n">
        <v>0</v>
      </c>
      <c r="D18" s="6" t="n">
        <v>0</v>
      </c>
      <c r="E18" s="13" t="n">
        <v>25000</v>
      </c>
      <c r="F18" s="13" t="n">
        <v>50000</v>
      </c>
    </row>
    <row r="19" customFormat="false" ht="15" hidden="false" customHeight="true" outlineLevel="0" collapsed="false">
      <c r="A19" s="1" t="s">
        <v>120</v>
      </c>
      <c r="B19" s="15" t="n">
        <f aca="false">B17+B18</f>
        <v>0</v>
      </c>
      <c r="C19" s="15" t="n">
        <f aca="false">C17+C18</f>
        <v>0</v>
      </c>
      <c r="D19" s="15" t="n">
        <f aca="false">D17+D18</f>
        <v>100000</v>
      </c>
      <c r="E19" s="15" t="n">
        <f aca="false">E17+E18</f>
        <v>275000</v>
      </c>
      <c r="F19" s="15" t="n">
        <f aca="false">F17+F18</f>
        <v>650000</v>
      </c>
    </row>
    <row r="20" customFormat="false" ht="15" hidden="false" customHeight="true" outlineLevel="0" collapsed="false">
      <c r="A20" s="17" t="s">
        <v>121</v>
      </c>
      <c r="B20" s="16" t="n">
        <f aca="false">B15+B19</f>
        <v>210840</v>
      </c>
      <c r="C20" s="16" t="n">
        <f aca="false">C15+C19</f>
        <v>535260</v>
      </c>
      <c r="D20" s="16" t="n">
        <f aca="false">D15+D19</f>
        <v>1310518</v>
      </c>
      <c r="E20" s="16" t="n">
        <f aca="false">E15+E19</f>
        <v>2649913.4</v>
      </c>
      <c r="F20" s="16" t="n">
        <f aca="false">F15+F19</f>
        <v>4579573.82</v>
      </c>
    </row>
    <row r="22" customFormat="false" ht="15" hidden="false" customHeight="true" outlineLevel="0" collapsed="false">
      <c r="A22" s="4" t="s">
        <v>122</v>
      </c>
    </row>
    <row r="23" customFormat="false" ht="15" hidden="false" customHeight="true" outlineLevel="0" collapsed="false">
      <c r="A23" s="1" t="s">
        <v>123</v>
      </c>
      <c r="B23" s="15" t="n">
        <f aca="false">20*12</f>
        <v>240</v>
      </c>
      <c r="C23" s="15" t="n">
        <f aca="false">20*12</f>
        <v>240</v>
      </c>
      <c r="D23" s="15" t="n">
        <f aca="false">20*12</f>
        <v>240</v>
      </c>
      <c r="E23" s="15" t="n">
        <f aca="false">20*12</f>
        <v>240</v>
      </c>
      <c r="F23" s="15" t="n">
        <f aca="false">20*12</f>
        <v>240</v>
      </c>
    </row>
    <row r="24" customFormat="false" ht="15" hidden="false" customHeight="true" outlineLevel="0" collapsed="false">
      <c r="A24" s="1" t="s">
        <v>124</v>
      </c>
      <c r="B24" s="15" t="n">
        <v>1200</v>
      </c>
      <c r="C24" s="15" t="n">
        <v>1200</v>
      </c>
      <c r="D24" s="15" t="n">
        <v>1200</v>
      </c>
      <c r="E24" s="15" t="n">
        <v>1200</v>
      </c>
      <c r="F24" s="15" t="n">
        <v>1200</v>
      </c>
    </row>
    <row r="25" customFormat="false" ht="15" hidden="false" customHeight="true" outlineLevel="0" collapsed="false">
      <c r="A25" s="1" t="s">
        <v>125</v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</row>
    <row r="26" customFormat="false" ht="15" hidden="false" customHeight="true" outlineLevel="0" collapsed="false">
      <c r="A26" s="1" t="s">
        <v>126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</row>
    <row r="27" customFormat="false" ht="15" hidden="false" customHeight="true" outlineLevel="0" collapsed="false">
      <c r="A27" s="1" t="s">
        <v>127</v>
      </c>
      <c r="B27" s="15" t="n">
        <f aca="false">B20*0.029+B10*0.3*12</f>
        <v>14070.36</v>
      </c>
      <c r="C27" s="15" t="n">
        <f aca="false">C20*0.029+C10*0.3*12</f>
        <v>35556.54</v>
      </c>
      <c r="D27" s="15" t="n">
        <f aca="false">D20*0.029+D10*0.3*12</f>
        <v>82661.222</v>
      </c>
      <c r="E27" s="15" t="n">
        <f aca="false">E20*0.029+E10*0.3*12</f>
        <v>163016.5486</v>
      </c>
      <c r="F27" s="15" t="n">
        <f aca="false">F20*0.029+F10*0.3*12</f>
        <v>272967.17878</v>
      </c>
    </row>
    <row r="28" customFormat="false" ht="15" hidden="false" customHeight="true" outlineLevel="0" collapsed="false">
      <c r="A28" s="1" t="s">
        <v>128</v>
      </c>
      <c r="B28" s="13" t="n">
        <v>5000</v>
      </c>
      <c r="C28" s="13" t="n">
        <v>2500</v>
      </c>
      <c r="D28" s="13" t="n">
        <v>2500</v>
      </c>
      <c r="E28" s="13" t="n">
        <v>3000</v>
      </c>
      <c r="F28" s="13" t="n">
        <v>3000</v>
      </c>
    </row>
    <row r="29" customFormat="false" ht="15" hidden="false" customHeight="true" outlineLevel="0" collapsed="false">
      <c r="A29" s="1" t="s">
        <v>129</v>
      </c>
      <c r="B29" s="6" t="n">
        <v>6000</v>
      </c>
      <c r="C29" s="15" t="n">
        <f aca="false">1000*12</f>
        <v>12000</v>
      </c>
      <c r="D29" s="15" t="n">
        <f aca="false">1000*12</f>
        <v>12000</v>
      </c>
      <c r="E29" s="15" t="n">
        <f aca="false">2000*12</f>
        <v>24000</v>
      </c>
      <c r="F29" s="15" t="n">
        <f aca="false">2000*12</f>
        <v>24000</v>
      </c>
    </row>
    <row r="30" customFormat="false" ht="15" hidden="false" customHeight="true" outlineLevel="0" collapsed="false">
      <c r="A30" s="1" t="s">
        <v>82</v>
      </c>
      <c r="B30" s="1" t="n">
        <v>0</v>
      </c>
      <c r="C30" s="15" t="n">
        <v>0</v>
      </c>
      <c r="D30" s="15" t="n">
        <v>0</v>
      </c>
      <c r="E30" s="15" t="n">
        <v>0</v>
      </c>
      <c r="F30" s="15" t="n">
        <v>0</v>
      </c>
    </row>
    <row r="31" customFormat="false" ht="15" hidden="false" customHeight="true" outlineLevel="0" collapsed="false">
      <c r="A31" s="1" t="s">
        <v>130</v>
      </c>
      <c r="B31" s="15" t="n">
        <v>3360</v>
      </c>
      <c r="C31" s="15" t="n">
        <v>3360</v>
      </c>
      <c r="D31" s="15" t="n">
        <v>3360</v>
      </c>
      <c r="E31" s="15" t="n">
        <v>3360</v>
      </c>
      <c r="F31" s="15" t="n">
        <v>3360</v>
      </c>
    </row>
    <row r="32" customFormat="false" ht="15" hidden="false" customHeight="true" outlineLevel="0" collapsed="false">
      <c r="A32" s="1" t="s">
        <v>131</v>
      </c>
      <c r="B32" s="16" t="n">
        <f aca="false">SUM(B23:B31)</f>
        <v>29870.36</v>
      </c>
      <c r="C32" s="16" t="n">
        <f aca="false">SUM(C23:C31)</f>
        <v>54856.54</v>
      </c>
      <c r="D32" s="16" t="n">
        <f aca="false">SUM(D23:D31)</f>
        <v>101961.222</v>
      </c>
      <c r="E32" s="16" t="n">
        <f aca="false">SUM(E23:E31)</f>
        <v>194816.5486</v>
      </c>
      <c r="F32" s="16" t="n">
        <f aca="false">SUM(F23:F31)</f>
        <v>304767.17878</v>
      </c>
    </row>
    <row r="34" customFormat="false" ht="15" hidden="false" customHeight="true" outlineLevel="0" collapsed="false">
      <c r="A34" s="4" t="s">
        <v>132</v>
      </c>
    </row>
    <row r="35" customFormat="false" ht="15" hidden="false" customHeight="true" outlineLevel="0" collapsed="false">
      <c r="A35" s="1" t="s">
        <v>133</v>
      </c>
      <c r="B35" s="16" t="n">
        <f aca="false">B20-B32</f>
        <v>180969.64</v>
      </c>
      <c r="C35" s="16" t="n">
        <f aca="false">C20-C32</f>
        <v>480403.46</v>
      </c>
      <c r="D35" s="16" t="n">
        <f aca="false">D20-D32</f>
        <v>1208556.778</v>
      </c>
      <c r="E35" s="16" t="n">
        <f aca="false">E20-E32</f>
        <v>2455096.8514</v>
      </c>
      <c r="F35" s="16" t="n">
        <f aca="false">F20-F32</f>
        <v>4274806.64122</v>
      </c>
    </row>
    <row r="36" customFormat="false" ht="15" hidden="false" customHeight="true" outlineLevel="0" collapsed="false">
      <c r="A36" s="1" t="s">
        <v>134</v>
      </c>
      <c r="B36" s="15" t="n">
        <f aca="false">B35</f>
        <v>180969.64</v>
      </c>
      <c r="C36" s="15" t="n">
        <f aca="false">B36+C35</f>
        <v>661373.1</v>
      </c>
      <c r="D36" s="15" t="n">
        <f aca="false">C36+D35</f>
        <v>1869929.878</v>
      </c>
      <c r="E36" s="15" t="n">
        <f aca="false">D36+E35</f>
        <v>4325026.7294</v>
      </c>
      <c r="F36" s="15" t="n">
        <f aca="false">E36+F35</f>
        <v>8599833.37062</v>
      </c>
    </row>
    <row r="37" customFormat="false" ht="15" hidden="false" customHeight="true" outlineLevel="0" collapsed="false">
      <c r="A37" s="1" t="s">
        <v>135</v>
      </c>
      <c r="B37" s="18" t="n">
        <f aca="false">IF(B20=0,0,B35/B20)</f>
        <v>0.858326882944413</v>
      </c>
      <c r="C37" s="18" t="n">
        <f aca="false">IF(C20=0,0,C35/C20)</f>
        <v>0.89751421738968</v>
      </c>
      <c r="D37" s="18" t="n">
        <f aca="false">IF(D20=0,0,D35/D20)</f>
        <v>0.922197770652521</v>
      </c>
      <c r="E37" s="18" t="n">
        <f aca="false">IF(E20=0,0,E35/E20)</f>
        <v>0.92648191876761</v>
      </c>
      <c r="F37" s="18" t="n">
        <f aca="false">IF(F20=0,0,F35/F20)</f>
        <v>0.933450755297575</v>
      </c>
    </row>
    <row r="38" customFormat="false" ht="15" hidden="false" customHeight="true" outlineLevel="0" collapsed="false">
      <c r="A38" s="1" t="s">
        <v>136</v>
      </c>
      <c r="B38" s="15" t="n">
        <f aca="false">B20</f>
        <v>210840</v>
      </c>
      <c r="C38" s="15" t="n">
        <f aca="false">C20</f>
        <v>535260</v>
      </c>
      <c r="D38" s="15" t="n">
        <f aca="false">D20</f>
        <v>1310518</v>
      </c>
      <c r="E38" s="15" t="n">
        <f aca="false">E20</f>
        <v>2649913.4</v>
      </c>
      <c r="F38" s="15" t="n">
        <f aca="false">F20</f>
        <v>4579573.82</v>
      </c>
    </row>
    <row r="40" customFormat="false" ht="15" hidden="false" customHeight="true" outlineLevel="0" collapsed="false">
      <c r="A40" s="4" t="s">
        <v>137</v>
      </c>
    </row>
    <row r="41" customFormat="false" ht="15" hidden="false" customHeight="true" outlineLevel="0" collapsed="false">
      <c r="A41" s="1" t="s">
        <v>138</v>
      </c>
      <c r="B41" s="15" t="n">
        <f aca="false">F20</f>
        <v>4579573.82</v>
      </c>
    </row>
    <row r="42" customFormat="false" ht="15" hidden="false" customHeight="true" outlineLevel="0" collapsed="false">
      <c r="A42" s="1" t="s">
        <v>139</v>
      </c>
      <c r="B42" s="6" t="n">
        <v>20</v>
      </c>
    </row>
    <row r="43" customFormat="false" ht="15" hidden="false" customHeight="true" outlineLevel="0" collapsed="false">
      <c r="A43" s="1" t="s">
        <v>140</v>
      </c>
      <c r="B43" s="16" t="n">
        <f aca="false">B41*B42</f>
        <v>91591476.4</v>
      </c>
    </row>
    <row r="45" customFormat="false" ht="15" hidden="false" customHeight="true" outlineLevel="0" collapsed="false">
      <c r="A45" s="1" t="s">
        <v>141</v>
      </c>
      <c r="B45" s="16" t="n">
        <f aca="false">B43*0.05</f>
        <v>4579573.82</v>
      </c>
    </row>
    <row r="46" customFormat="false" ht="15" hidden="false" customHeight="true" outlineLevel="0" collapsed="false">
      <c r="A46" s="1" t="s">
        <v>142</v>
      </c>
      <c r="B46" s="19" t="n">
        <f aca="false">B45/50000</f>
        <v>91.5914764</v>
      </c>
    </row>
    <row r="48" customFormat="false" ht="15" hidden="false" customHeight="true" outlineLevel="0" collapsed="false">
      <c r="A48" s="4" t="s">
        <v>143</v>
      </c>
    </row>
    <row r="49" customFormat="false" ht="15" hidden="false" customHeight="true" outlineLevel="0" collapsed="false">
      <c r="A49" s="1" t="s">
        <v>144</v>
      </c>
      <c r="B49" s="1" t="n">
        <v>80</v>
      </c>
    </row>
    <row r="50" customFormat="false" ht="15" hidden="false" customHeight="true" outlineLevel="0" collapsed="false">
      <c r="A50" s="1" t="s">
        <v>145</v>
      </c>
      <c r="B50" s="1" t="n">
        <v>58</v>
      </c>
    </row>
    <row r="51" customFormat="false" ht="15" hidden="false" customHeight="true" outlineLevel="0" collapsed="false">
      <c r="A51" s="1" t="s">
        <v>146</v>
      </c>
      <c r="B51" s="1" t="n">
        <v>20</v>
      </c>
    </row>
    <row r="52" customFormat="false" ht="15" hidden="false" customHeight="true" outlineLevel="0" collapsed="false">
      <c r="A52" s="1" t="s">
        <v>147</v>
      </c>
      <c r="B52" s="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2026-03-13T12:09:16Z</dcterms:created>
  <dc:creator>openpyxl</dc:creator>
  <dc:description/>
  <dc:language>en-US</dc:language>
  <cp:lastModifiedBy/>
  <dcterms:modified xsi:type="dcterms:W3CDTF">2026-03-14T00:31:11Z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